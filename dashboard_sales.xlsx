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fresn\OneDrive\Documents\Work\"/>
    </mc:Choice>
  </mc:AlternateContent>
  <xr:revisionPtr revIDLastSave="0" documentId="13_ncr:1_{7FB873B8-2BE1-494B-A390-C82EF78A332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otal mapping" sheetId="2" r:id="rId1"/>
    <sheet name="Dashboard" sheetId="1" r:id="rId2"/>
    <sheet name="Dashboard 2" sheetId="4" r:id="rId3"/>
    <sheet name="Caption" sheetId="3" r:id="rId4"/>
  </sheets>
  <definedNames>
    <definedName name="ExternalData_1" localSheetId="0" hidden="1">'total mapping'!$A$1:$E$77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B5" i="4"/>
  <c r="B4" i="4"/>
  <c r="B3" i="4"/>
  <c r="C6" i="4"/>
  <c r="A2" i="3"/>
  <c r="C7" i="1"/>
  <c r="B7" i="1"/>
  <c r="B6" i="1"/>
  <c r="B5" i="1"/>
  <c r="B4" i="1"/>
  <c r="C4" i="1" s="1"/>
  <c r="B3" i="1"/>
  <c r="C3" i="1" s="1"/>
  <c r="C4" i="4" l="1"/>
  <c r="C5" i="4"/>
  <c r="C3" i="4"/>
  <c r="C5" i="1"/>
  <c r="C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369EB0-9249-431F-88A7-BFBC59B38C4B}" keepAlive="1" name="Query - total mapping" description="Connection to the 'total mapping' query in the workbook." type="5" refreshedVersion="8" background="1" saveData="1">
    <dbPr connection="Provider=Microsoft.Mashup.OleDb.1;Data Source=$Workbook$;Location=&quot;total mapping&quot;;Extended Properties=&quot;&quot;" command="SELECT * FROM [total mapping]"/>
  </connection>
</connections>
</file>

<file path=xl/sharedStrings.xml><?xml version="1.0" encoding="utf-8"?>
<sst xmlns="http://schemas.openxmlformats.org/spreadsheetml/2006/main" count="176" uniqueCount="28">
  <si>
    <t>index</t>
  </si>
  <si>
    <t>status_from</t>
  </si>
  <si>
    <t>status_to</t>
  </si>
  <si>
    <t>Count</t>
  </si>
  <si>
    <t>Percentage</t>
  </si>
  <si>
    <t>new</t>
  </si>
  <si>
    <t>ready</t>
  </si>
  <si>
    <t>ready for test</t>
  </si>
  <si>
    <t>testing</t>
  </si>
  <si>
    <t>in progress</t>
  </si>
  <si>
    <t>closed</t>
  </si>
  <si>
    <t>feedback</t>
  </si>
  <si>
    <t>code review</t>
  </si>
  <si>
    <t>needs info</t>
  </si>
  <si>
    <t>feedbback</t>
  </si>
  <si>
    <t>Aktivitas</t>
  </si>
  <si>
    <t>Total</t>
  </si>
  <si>
    <t>Coding</t>
  </si>
  <si>
    <t>Analisis task</t>
  </si>
  <si>
    <t>Testing</t>
  </si>
  <si>
    <t>DASHBOARD</t>
  </si>
  <si>
    <t>Tutup task</t>
  </si>
  <si>
    <t>Persentase</t>
  </si>
  <si>
    <t>Terima task</t>
  </si>
  <si>
    <t>Caption</t>
  </si>
  <si>
    <t>Revisi kode</t>
  </si>
  <si>
    <t>Perbaiki analisis</t>
  </si>
  <si>
    <t>Berikan analisis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</si>
</sst>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2" xfId="0" applyFont="1" applyFill="1" applyBorder="1"/>
    <xf numFmtId="164" fontId="0" fillId="0" borderId="1" xfId="1" applyNumberFormat="1" applyFont="1" applyBorder="1"/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Fill="1" applyBorder="1"/>
    <xf numFmtId="0" fontId="0" fillId="0" borderId="1" xfId="0" applyBorder="1" applyAlignment="1">
      <alignment horizontal="left" vertical="top"/>
    </xf>
  </cellXfs>
  <cellStyles count="2">
    <cellStyle name="Normal" xfId="0" builtinId="0"/>
    <cellStyle name="Percent" xfId="1" builtinId="5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93AC94A-9886-4C2B-9FBF-97631A31DFF7}" autoFormatId="16" applyNumberFormats="0" applyBorderFormats="0" applyFontFormats="0" applyPatternFormats="0" applyAlignmentFormats="0" applyWidthHeightFormats="0">
  <queryTableRefresh nextId="6">
    <queryTableFields count="5">
      <queryTableField id="1" name="index" tableColumnId="1"/>
      <queryTableField id="2" name="status_from" tableColumnId="2"/>
      <queryTableField id="3" name="status_to" tableColumnId="3"/>
      <queryTableField id="4" name="Count" tableColumnId="4"/>
      <queryTableField id="5" name="Percentag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C17BDC-07CD-4E91-B523-29DB30E4792A}" name="total_mapping" displayName="total_mapping" ref="A1:E77" tableType="queryTable" totalsRowShown="0">
  <autoFilter ref="A1:E77" xr:uid="{2EC17BDC-07CD-4E91-B523-29DB30E4792A}"/>
  <tableColumns count="5">
    <tableColumn id="1" xr3:uid="{8496DE01-9180-47A4-B5D5-D03D600D9014}" uniqueName="1" name="index" queryTableFieldId="1"/>
    <tableColumn id="2" xr3:uid="{156923C5-E8DC-4B61-B7AE-E15E2E3C30B4}" uniqueName="2" name="status_from" queryTableFieldId="2" dataDxfId="1"/>
    <tableColumn id="3" xr3:uid="{6B836B5D-B399-451A-8CD2-55956D57AC13}" uniqueName="3" name="status_to" queryTableFieldId="3" dataDxfId="0"/>
    <tableColumn id="4" xr3:uid="{2DF47800-F9DA-43CB-9CA8-46E0ABDF950B}" uniqueName="4" name="Count" queryTableFieldId="4"/>
    <tableColumn id="5" xr3:uid="{82B4C56C-5D02-4819-BDA4-95E69A9D12A4}" uniqueName="5" name="Percentag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0150A-5171-40C6-B997-4DD7E8798866}">
  <dimension ref="A1:E77"/>
  <sheetViews>
    <sheetView workbookViewId="0">
      <selection activeCell="D2" sqref="D2"/>
    </sheetView>
  </sheetViews>
  <sheetFormatPr defaultRowHeight="14.5" x14ac:dyDescent="0.35"/>
  <cols>
    <col min="1" max="1" width="7.6328125" bestFit="1" customWidth="1"/>
    <col min="2" max="2" width="13.36328125" bestFit="1" customWidth="1"/>
    <col min="3" max="3" width="12" bestFit="1" customWidth="1"/>
    <col min="4" max="4" width="8.1796875" bestFit="1" customWidth="1"/>
    <col min="5" max="5" width="12.4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 t="s">
        <v>5</v>
      </c>
      <c r="C2" t="s">
        <v>6</v>
      </c>
      <c r="D2">
        <v>22737</v>
      </c>
      <c r="E2">
        <v>1830912194807705</v>
      </c>
    </row>
    <row r="3" spans="1:5" x14ac:dyDescent="0.35">
      <c r="A3">
        <v>1</v>
      </c>
      <c r="B3" t="s">
        <v>7</v>
      </c>
      <c r="C3" t="s">
        <v>8</v>
      </c>
      <c r="D3">
        <v>14504</v>
      </c>
      <c r="E3">
        <v>1.1679443406558012E+16</v>
      </c>
    </row>
    <row r="4" spans="1:5" x14ac:dyDescent="0.35">
      <c r="A4">
        <v>2</v>
      </c>
      <c r="B4" t="s">
        <v>6</v>
      </c>
      <c r="C4" t="s">
        <v>9</v>
      </c>
      <c r="D4">
        <v>15128</v>
      </c>
      <c r="E4">
        <v>1137666688140179</v>
      </c>
    </row>
    <row r="5" spans="1:5" x14ac:dyDescent="0.35">
      <c r="A5">
        <v>3</v>
      </c>
      <c r="B5" t="s">
        <v>9</v>
      </c>
      <c r="C5" t="s">
        <v>7</v>
      </c>
      <c r="D5">
        <v>12958</v>
      </c>
      <c r="E5">
        <v>1043451652386781</v>
      </c>
    </row>
    <row r="6" spans="1:5" x14ac:dyDescent="0.35">
      <c r="A6">
        <v>4</v>
      </c>
      <c r="B6" t="s">
        <v>8</v>
      </c>
      <c r="C6" t="s">
        <v>10</v>
      </c>
      <c r="D6">
        <v>11753</v>
      </c>
      <c r="E6">
        <v>9464182181279392</v>
      </c>
    </row>
    <row r="7" spans="1:5" x14ac:dyDescent="0.35">
      <c r="A7">
        <v>5</v>
      </c>
      <c r="B7" t="s">
        <v>7</v>
      </c>
      <c r="C7" t="s">
        <v>10</v>
      </c>
      <c r="D7">
        <v>10918</v>
      </c>
      <c r="E7">
        <v>8791792823552148</v>
      </c>
    </row>
    <row r="8" spans="1:5" x14ac:dyDescent="0.35">
      <c r="A8">
        <v>6</v>
      </c>
      <c r="B8" t="s">
        <v>6</v>
      </c>
      <c r="C8" t="s">
        <v>7</v>
      </c>
      <c r="D8">
        <v>7909</v>
      </c>
      <c r="E8">
        <v>6368775365586549</v>
      </c>
    </row>
    <row r="9" spans="1:5" x14ac:dyDescent="0.35">
      <c r="A9">
        <v>7</v>
      </c>
      <c r="B9" t="s">
        <v>8</v>
      </c>
      <c r="C9" t="s">
        <v>11</v>
      </c>
      <c r="D9">
        <v>2692</v>
      </c>
      <c r="E9">
        <v>2.1677510790439992E+16</v>
      </c>
    </row>
    <row r="10" spans="1:5" x14ac:dyDescent="0.35">
      <c r="A10">
        <v>8</v>
      </c>
      <c r="B10" t="s">
        <v>12</v>
      </c>
      <c r="C10" t="s">
        <v>7</v>
      </c>
      <c r="D10">
        <v>2652</v>
      </c>
      <c r="E10">
        <v>2135540810410359</v>
      </c>
    </row>
    <row r="11" spans="1:5" x14ac:dyDescent="0.35">
      <c r="A11">
        <v>9</v>
      </c>
      <c r="B11" t="s">
        <v>11</v>
      </c>
      <c r="C11" t="s">
        <v>7</v>
      </c>
      <c r="D11">
        <v>2433</v>
      </c>
      <c r="E11">
        <v>1.9591895896411776E+16</v>
      </c>
    </row>
    <row r="12" spans="1:5" x14ac:dyDescent="0.35">
      <c r="A12">
        <v>10</v>
      </c>
      <c r="B12" t="s">
        <v>11</v>
      </c>
      <c r="C12" t="s">
        <v>9</v>
      </c>
      <c r="D12">
        <v>2007</v>
      </c>
      <c r="E12">
        <v>1.6161502286929072E+16</v>
      </c>
    </row>
    <row r="13" spans="1:5" x14ac:dyDescent="0.35">
      <c r="A13">
        <v>11</v>
      </c>
      <c r="B13" t="s">
        <v>9</v>
      </c>
      <c r="C13" t="s">
        <v>12</v>
      </c>
      <c r="D13">
        <v>1967</v>
      </c>
      <c r="E13">
        <v>1583939960059267</v>
      </c>
    </row>
    <row r="14" spans="1:5" x14ac:dyDescent="0.35">
      <c r="A14">
        <v>12</v>
      </c>
      <c r="B14" t="s">
        <v>7</v>
      </c>
      <c r="C14" t="s">
        <v>11</v>
      </c>
      <c r="D14">
        <v>1788</v>
      </c>
      <c r="E14">
        <v>1439799007923726</v>
      </c>
    </row>
    <row r="15" spans="1:5" x14ac:dyDescent="0.35">
      <c r="A15">
        <v>13</v>
      </c>
      <c r="B15" t="s">
        <v>13</v>
      </c>
      <c r="C15" t="s">
        <v>6</v>
      </c>
      <c r="D15">
        <v>1447</v>
      </c>
      <c r="E15">
        <v>1.1652064678219416E+16</v>
      </c>
    </row>
    <row r="16" spans="1:5" x14ac:dyDescent="0.35">
      <c r="A16">
        <v>14</v>
      </c>
      <c r="B16" t="s">
        <v>6</v>
      </c>
      <c r="C16" t="s">
        <v>13</v>
      </c>
      <c r="D16">
        <v>1079</v>
      </c>
      <c r="E16">
        <v>8688719963924498</v>
      </c>
    </row>
    <row r="17" spans="1:5" x14ac:dyDescent="0.35">
      <c r="A17">
        <v>15</v>
      </c>
      <c r="B17" t="s">
        <v>5</v>
      </c>
      <c r="C17" t="s">
        <v>10</v>
      </c>
      <c r="D17">
        <v>984</v>
      </c>
      <c r="E17">
        <v>792372608387554</v>
      </c>
    </row>
    <row r="18" spans="1:5" x14ac:dyDescent="0.35">
      <c r="A18">
        <v>16</v>
      </c>
      <c r="B18" t="s">
        <v>6</v>
      </c>
      <c r="C18" t="s">
        <v>10</v>
      </c>
      <c r="D18">
        <v>908</v>
      </c>
      <c r="E18">
        <v>7311730979836372</v>
      </c>
    </row>
    <row r="19" spans="1:5" x14ac:dyDescent="0.35">
      <c r="A19">
        <v>17</v>
      </c>
      <c r="B19" t="s">
        <v>5</v>
      </c>
      <c r="C19" t="s">
        <v>7</v>
      </c>
      <c r="D19">
        <v>896</v>
      </c>
      <c r="E19">
        <v>721510017393545</v>
      </c>
    </row>
    <row r="20" spans="1:5" x14ac:dyDescent="0.35">
      <c r="A20">
        <v>18</v>
      </c>
      <c r="B20" t="s">
        <v>9</v>
      </c>
      <c r="C20" t="s">
        <v>6</v>
      </c>
      <c r="D20">
        <v>876</v>
      </c>
      <c r="E20">
        <v>7054048830767249</v>
      </c>
    </row>
    <row r="21" spans="1:5" x14ac:dyDescent="0.35">
      <c r="A21">
        <v>19</v>
      </c>
      <c r="B21" t="s">
        <v>8</v>
      </c>
      <c r="C21" t="s">
        <v>7</v>
      </c>
      <c r="D21">
        <v>788</v>
      </c>
      <c r="E21">
        <v>634542292082716</v>
      </c>
    </row>
    <row r="22" spans="1:5" x14ac:dyDescent="0.35">
      <c r="A22">
        <v>20</v>
      </c>
      <c r="B22" t="s">
        <v>6</v>
      </c>
      <c r="C22" t="s">
        <v>5</v>
      </c>
      <c r="D22">
        <v>708</v>
      </c>
      <c r="E22">
        <v>5701217548154351</v>
      </c>
    </row>
    <row r="23" spans="1:5" x14ac:dyDescent="0.35">
      <c r="A23">
        <v>21</v>
      </c>
      <c r="B23" t="s">
        <v>9</v>
      </c>
      <c r="C23" t="s">
        <v>13</v>
      </c>
      <c r="D23">
        <v>705</v>
      </c>
      <c r="E23">
        <v>5677059846679122</v>
      </c>
    </row>
    <row r="24" spans="1:5" x14ac:dyDescent="0.35">
      <c r="A24">
        <v>22</v>
      </c>
      <c r="B24" t="s">
        <v>11</v>
      </c>
      <c r="C24" t="s">
        <v>13</v>
      </c>
      <c r="D24">
        <v>622</v>
      </c>
      <c r="E24">
        <v>5008696772531083</v>
      </c>
    </row>
    <row r="25" spans="1:5" x14ac:dyDescent="0.35">
      <c r="A25">
        <v>23</v>
      </c>
      <c r="B25" t="s">
        <v>10</v>
      </c>
      <c r="C25" t="s">
        <v>11</v>
      </c>
      <c r="D25">
        <v>564</v>
      </c>
      <c r="E25">
        <v>4541647877343297</v>
      </c>
    </row>
    <row r="26" spans="1:5" x14ac:dyDescent="0.35">
      <c r="A26">
        <v>24</v>
      </c>
      <c r="B26" t="s">
        <v>6</v>
      </c>
      <c r="C26" t="s">
        <v>12</v>
      </c>
      <c r="D26">
        <v>484</v>
      </c>
      <c r="E26">
        <v>3897442504670489</v>
      </c>
    </row>
    <row r="27" spans="1:5" x14ac:dyDescent="0.35">
      <c r="A27">
        <v>25</v>
      </c>
      <c r="B27" t="s">
        <v>13</v>
      </c>
      <c r="C27" t="s">
        <v>11</v>
      </c>
      <c r="D27">
        <v>399</v>
      </c>
      <c r="E27">
        <v>321297429620563</v>
      </c>
    </row>
    <row r="28" spans="1:5" x14ac:dyDescent="0.35">
      <c r="A28">
        <v>26</v>
      </c>
      <c r="B28" t="s">
        <v>13</v>
      </c>
      <c r="C28" t="s">
        <v>7</v>
      </c>
      <c r="D28">
        <v>380</v>
      </c>
      <c r="E28">
        <v>3.0599755201958384E+16</v>
      </c>
    </row>
    <row r="29" spans="1:5" x14ac:dyDescent="0.35">
      <c r="A29">
        <v>27</v>
      </c>
      <c r="B29" t="s">
        <v>7</v>
      </c>
      <c r="C29" t="s">
        <v>13</v>
      </c>
      <c r="D29">
        <v>348</v>
      </c>
      <c r="E29">
        <v>2802293371126715</v>
      </c>
    </row>
    <row r="30" spans="1:5" x14ac:dyDescent="0.35">
      <c r="A30">
        <v>28</v>
      </c>
      <c r="B30" t="s">
        <v>6</v>
      </c>
      <c r="C30" t="s">
        <v>8</v>
      </c>
      <c r="D30">
        <v>316</v>
      </c>
      <c r="E30">
        <v>2.5446112220575916E+16</v>
      </c>
    </row>
    <row r="31" spans="1:5" x14ac:dyDescent="0.35">
      <c r="A31">
        <v>29</v>
      </c>
      <c r="B31" t="s">
        <v>13</v>
      </c>
      <c r="C31" t="s">
        <v>10</v>
      </c>
      <c r="D31">
        <v>306</v>
      </c>
      <c r="E31">
        <v>2464085550473491</v>
      </c>
    </row>
    <row r="32" spans="1:5" x14ac:dyDescent="0.35">
      <c r="A32">
        <v>30</v>
      </c>
      <c r="B32" t="s">
        <v>11</v>
      </c>
      <c r="C32" t="s">
        <v>12</v>
      </c>
      <c r="D32">
        <v>304</v>
      </c>
      <c r="E32">
        <v>2.4479804161566704E+16</v>
      </c>
    </row>
    <row r="33" spans="1:5" x14ac:dyDescent="0.35">
      <c r="A33">
        <v>31</v>
      </c>
      <c r="B33" t="s">
        <v>7</v>
      </c>
      <c r="C33" t="s">
        <v>9</v>
      </c>
      <c r="D33">
        <v>246</v>
      </c>
      <c r="E33">
        <v>1980931520968885</v>
      </c>
    </row>
    <row r="34" spans="1:5" x14ac:dyDescent="0.35">
      <c r="A34">
        <v>32</v>
      </c>
      <c r="B34" t="s">
        <v>10</v>
      </c>
      <c r="C34" t="s">
        <v>6</v>
      </c>
      <c r="D34">
        <v>234</v>
      </c>
      <c r="E34">
        <v>1.8843007150679636E+16</v>
      </c>
    </row>
    <row r="35" spans="1:5" x14ac:dyDescent="0.35">
      <c r="A35">
        <v>33</v>
      </c>
      <c r="B35" t="s">
        <v>10</v>
      </c>
      <c r="C35" t="s">
        <v>8</v>
      </c>
      <c r="D35">
        <v>226</v>
      </c>
      <c r="E35">
        <v>1819880177800683</v>
      </c>
    </row>
    <row r="36" spans="1:5" x14ac:dyDescent="0.35">
      <c r="A36">
        <v>34</v>
      </c>
      <c r="B36" t="s">
        <v>9</v>
      </c>
      <c r="C36" t="s">
        <v>10</v>
      </c>
      <c r="D36">
        <v>221</v>
      </c>
      <c r="E36">
        <v>1.7796173420086324E+16</v>
      </c>
    </row>
    <row r="37" spans="1:5" x14ac:dyDescent="0.35">
      <c r="A37">
        <v>35</v>
      </c>
      <c r="B37" t="s">
        <v>13</v>
      </c>
      <c r="C37" t="s">
        <v>9</v>
      </c>
      <c r="D37">
        <v>216</v>
      </c>
      <c r="E37">
        <v>1739354506216582</v>
      </c>
    </row>
    <row r="38" spans="1:5" x14ac:dyDescent="0.35">
      <c r="A38">
        <v>36</v>
      </c>
      <c r="B38" t="s">
        <v>12</v>
      </c>
      <c r="C38" t="s">
        <v>11</v>
      </c>
      <c r="D38">
        <v>208</v>
      </c>
      <c r="E38">
        <v>1674933968949301</v>
      </c>
    </row>
    <row r="39" spans="1:5" x14ac:dyDescent="0.35">
      <c r="A39">
        <v>37</v>
      </c>
      <c r="B39" t="s">
        <v>11</v>
      </c>
      <c r="C39" t="s">
        <v>8</v>
      </c>
      <c r="D39">
        <v>181</v>
      </c>
      <c r="E39">
        <v>1.4575146556722284E+16</v>
      </c>
    </row>
    <row r="40" spans="1:5" x14ac:dyDescent="0.35">
      <c r="A40">
        <v>38</v>
      </c>
      <c r="B40" t="s">
        <v>11</v>
      </c>
      <c r="C40" t="s">
        <v>10</v>
      </c>
      <c r="D40">
        <v>173</v>
      </c>
      <c r="E40">
        <v>1.3930941184049476E+16</v>
      </c>
    </row>
    <row r="41" spans="1:5" x14ac:dyDescent="0.35">
      <c r="A41">
        <v>39</v>
      </c>
      <c r="B41" t="s">
        <v>5</v>
      </c>
      <c r="C41" t="s">
        <v>9</v>
      </c>
      <c r="D41">
        <v>163</v>
      </c>
      <c r="E41">
        <v>1.3125684468208464E+16</v>
      </c>
    </row>
    <row r="42" spans="1:5" x14ac:dyDescent="0.35">
      <c r="A42">
        <v>40</v>
      </c>
      <c r="B42" t="s">
        <v>7</v>
      </c>
      <c r="C42" t="s">
        <v>6</v>
      </c>
      <c r="D42">
        <v>162</v>
      </c>
      <c r="E42">
        <v>1.3045158796624364E+16</v>
      </c>
    </row>
    <row r="43" spans="1:5" x14ac:dyDescent="0.35">
      <c r="A43">
        <v>41</v>
      </c>
      <c r="B43" t="s">
        <v>13</v>
      </c>
      <c r="C43" t="s">
        <v>8</v>
      </c>
      <c r="D43">
        <v>155</v>
      </c>
      <c r="E43">
        <v>1.2481479095535656E+16</v>
      </c>
    </row>
    <row r="44" spans="1:5" x14ac:dyDescent="0.35">
      <c r="A44">
        <v>42</v>
      </c>
      <c r="B44" t="s">
        <v>7</v>
      </c>
      <c r="C44" t="s">
        <v>12</v>
      </c>
      <c r="D44">
        <v>150</v>
      </c>
      <c r="E44">
        <v>1.2078850737615152E+16</v>
      </c>
    </row>
    <row r="45" spans="1:5" x14ac:dyDescent="0.35">
      <c r="A45">
        <v>43</v>
      </c>
      <c r="B45" t="s">
        <v>10</v>
      </c>
      <c r="C45" t="s">
        <v>7</v>
      </c>
      <c r="D45">
        <v>143</v>
      </c>
      <c r="E45">
        <v>1.1515171036526444E+16</v>
      </c>
    </row>
    <row r="46" spans="1:5" x14ac:dyDescent="0.35">
      <c r="A46">
        <v>44</v>
      </c>
      <c r="B46" t="s">
        <v>8</v>
      </c>
      <c r="C46" t="s">
        <v>13</v>
      </c>
      <c r="D46">
        <v>110</v>
      </c>
      <c r="E46">
        <v>8857823874251111</v>
      </c>
    </row>
    <row r="47" spans="1:5" x14ac:dyDescent="0.35">
      <c r="A47">
        <v>45</v>
      </c>
      <c r="B47" t="s">
        <v>6</v>
      </c>
      <c r="C47" t="s">
        <v>11</v>
      </c>
      <c r="D47">
        <v>109</v>
      </c>
      <c r="E47">
        <v>8777298202667011</v>
      </c>
    </row>
    <row r="48" spans="1:5" x14ac:dyDescent="0.35">
      <c r="A48">
        <v>46</v>
      </c>
      <c r="B48" t="s">
        <v>11</v>
      </c>
      <c r="C48" t="s">
        <v>6</v>
      </c>
      <c r="D48">
        <v>86</v>
      </c>
      <c r="E48">
        <v>6925207756232687</v>
      </c>
    </row>
    <row r="49" spans="1:5" x14ac:dyDescent="0.35">
      <c r="A49">
        <v>47</v>
      </c>
      <c r="B49" t="s">
        <v>10</v>
      </c>
      <c r="C49" t="s">
        <v>5</v>
      </c>
      <c r="D49">
        <v>78</v>
      </c>
      <c r="E49">
        <v>6281002383559879</v>
      </c>
    </row>
    <row r="50" spans="1:5" x14ac:dyDescent="0.35">
      <c r="A50">
        <v>48</v>
      </c>
      <c r="B50" t="s">
        <v>8</v>
      </c>
      <c r="C50" t="s">
        <v>6</v>
      </c>
      <c r="D50">
        <v>73</v>
      </c>
      <c r="E50">
        <v>5878374025639374</v>
      </c>
    </row>
    <row r="51" spans="1:5" x14ac:dyDescent="0.35">
      <c r="A51">
        <v>49</v>
      </c>
      <c r="B51" t="s">
        <v>12</v>
      </c>
      <c r="C51" t="s">
        <v>9</v>
      </c>
      <c r="D51">
        <v>67</v>
      </c>
      <c r="E51">
        <v>5395219996134768</v>
      </c>
    </row>
    <row r="52" spans="1:5" x14ac:dyDescent="0.35">
      <c r="A52">
        <v>50</v>
      </c>
      <c r="B52" t="s">
        <v>13</v>
      </c>
      <c r="C52" t="s">
        <v>12</v>
      </c>
      <c r="D52">
        <v>60</v>
      </c>
      <c r="E52">
        <v>4.8315402950460608E+16</v>
      </c>
    </row>
    <row r="53" spans="1:5" x14ac:dyDescent="0.35">
      <c r="A53">
        <v>51</v>
      </c>
      <c r="B53" t="s">
        <v>13</v>
      </c>
      <c r="C53" t="s">
        <v>5</v>
      </c>
      <c r="D53">
        <v>57</v>
      </c>
      <c r="E53">
        <v>4589963280293758</v>
      </c>
    </row>
    <row r="54" spans="1:5" x14ac:dyDescent="0.35">
      <c r="A54">
        <v>52</v>
      </c>
      <c r="B54" t="s">
        <v>9</v>
      </c>
      <c r="C54" t="s">
        <v>8</v>
      </c>
      <c r="D54">
        <v>56</v>
      </c>
      <c r="E54">
        <v>4.5094376087096568E+16</v>
      </c>
    </row>
    <row r="55" spans="1:5" x14ac:dyDescent="0.35">
      <c r="A55">
        <v>53</v>
      </c>
      <c r="B55" t="s">
        <v>10</v>
      </c>
      <c r="C55" t="s">
        <v>13</v>
      </c>
      <c r="D55">
        <v>55</v>
      </c>
      <c r="E55">
        <v>4.4289119371255552E+16</v>
      </c>
    </row>
    <row r="56" spans="1:5" x14ac:dyDescent="0.35">
      <c r="A56">
        <v>54</v>
      </c>
      <c r="B56" t="s">
        <v>5</v>
      </c>
      <c r="C56" t="s">
        <v>13</v>
      </c>
      <c r="D56">
        <v>55</v>
      </c>
      <c r="E56">
        <v>4.4289119371255552E+16</v>
      </c>
    </row>
    <row r="57" spans="1:5" x14ac:dyDescent="0.35">
      <c r="A57">
        <v>55</v>
      </c>
      <c r="B57" t="s">
        <v>7</v>
      </c>
      <c r="C57" t="s">
        <v>5</v>
      </c>
      <c r="D57">
        <v>50</v>
      </c>
      <c r="E57">
        <v>4.0262835792050504E+16</v>
      </c>
    </row>
    <row r="58" spans="1:5" x14ac:dyDescent="0.35">
      <c r="A58">
        <v>56</v>
      </c>
      <c r="B58" t="s">
        <v>9</v>
      </c>
      <c r="C58" t="s">
        <v>11</v>
      </c>
      <c r="D58">
        <v>48</v>
      </c>
      <c r="E58">
        <v>3865232236036848</v>
      </c>
    </row>
    <row r="59" spans="1:5" x14ac:dyDescent="0.35">
      <c r="A59">
        <v>57</v>
      </c>
      <c r="B59" t="s">
        <v>12</v>
      </c>
      <c r="C59" t="s">
        <v>13</v>
      </c>
      <c r="D59">
        <v>46</v>
      </c>
      <c r="E59">
        <v>3.7041808928686464E+16</v>
      </c>
    </row>
    <row r="60" spans="1:5" x14ac:dyDescent="0.35">
      <c r="A60">
        <v>58</v>
      </c>
      <c r="B60" t="s">
        <v>9</v>
      </c>
      <c r="C60" t="s">
        <v>5</v>
      </c>
      <c r="D60">
        <v>33</v>
      </c>
      <c r="E60">
        <v>2.6573471622753332E+16</v>
      </c>
    </row>
    <row r="61" spans="1:5" x14ac:dyDescent="0.35">
      <c r="A61">
        <v>59</v>
      </c>
      <c r="B61" t="s">
        <v>8</v>
      </c>
      <c r="C61" t="s">
        <v>12</v>
      </c>
      <c r="D61">
        <v>26</v>
      </c>
      <c r="E61">
        <v>2093667461186626</v>
      </c>
    </row>
    <row r="62" spans="1:5" x14ac:dyDescent="0.35">
      <c r="A62">
        <v>60</v>
      </c>
      <c r="B62" t="s">
        <v>10</v>
      </c>
      <c r="C62" t="s">
        <v>9</v>
      </c>
      <c r="D62">
        <v>22</v>
      </c>
      <c r="E62">
        <v>1.7715647748502224E+16</v>
      </c>
    </row>
    <row r="63" spans="1:5" x14ac:dyDescent="0.35">
      <c r="A63">
        <v>61</v>
      </c>
      <c r="B63" t="s">
        <v>8</v>
      </c>
      <c r="C63" t="s">
        <v>9</v>
      </c>
      <c r="D63">
        <v>15</v>
      </c>
      <c r="E63">
        <v>1.2078850737615152E+16</v>
      </c>
    </row>
    <row r="64" spans="1:5" x14ac:dyDescent="0.35">
      <c r="A64">
        <v>62</v>
      </c>
      <c r="B64" t="s">
        <v>12</v>
      </c>
      <c r="C64" t="s">
        <v>10</v>
      </c>
      <c r="D64">
        <v>13</v>
      </c>
      <c r="E64">
        <v>1046833730593313</v>
      </c>
    </row>
    <row r="65" spans="1:5" x14ac:dyDescent="0.35">
      <c r="A65">
        <v>63</v>
      </c>
      <c r="B65" t="s">
        <v>12</v>
      </c>
      <c r="C65" t="s">
        <v>8</v>
      </c>
      <c r="D65">
        <v>12</v>
      </c>
      <c r="E65">
        <v>966308059009212</v>
      </c>
    </row>
    <row r="66" spans="1:5" x14ac:dyDescent="0.35">
      <c r="A66">
        <v>64</v>
      </c>
      <c r="B66" t="s">
        <v>5</v>
      </c>
      <c r="C66" t="s">
        <v>8</v>
      </c>
      <c r="D66">
        <v>10</v>
      </c>
      <c r="E66">
        <v>8052567158410101</v>
      </c>
    </row>
    <row r="67" spans="1:5" x14ac:dyDescent="0.35">
      <c r="A67">
        <v>65</v>
      </c>
      <c r="B67" t="s">
        <v>10</v>
      </c>
      <c r="C67" t="s">
        <v>12</v>
      </c>
      <c r="D67">
        <v>8</v>
      </c>
      <c r="E67">
        <v>644205372672808</v>
      </c>
    </row>
    <row r="68" spans="1:5" x14ac:dyDescent="0.35">
      <c r="A68">
        <v>66</v>
      </c>
      <c r="B68" t="s">
        <v>14</v>
      </c>
      <c r="C68" t="s">
        <v>7</v>
      </c>
      <c r="D68">
        <v>8</v>
      </c>
      <c r="E68">
        <v>644205372672808</v>
      </c>
    </row>
    <row r="69" spans="1:5" x14ac:dyDescent="0.35">
      <c r="A69">
        <v>67</v>
      </c>
      <c r="B69" t="s">
        <v>11</v>
      </c>
      <c r="C69" t="s">
        <v>5</v>
      </c>
      <c r="D69">
        <v>8</v>
      </c>
      <c r="E69">
        <v>644205372672808</v>
      </c>
    </row>
    <row r="70" spans="1:5" x14ac:dyDescent="0.35">
      <c r="A70">
        <v>68</v>
      </c>
      <c r="B70" t="s">
        <v>7</v>
      </c>
      <c r="C70" t="s">
        <v>14</v>
      </c>
      <c r="D70">
        <v>8</v>
      </c>
      <c r="E70">
        <v>644205372672808</v>
      </c>
    </row>
    <row r="71" spans="1:5" x14ac:dyDescent="0.35">
      <c r="A71">
        <v>69</v>
      </c>
      <c r="B71" t="s">
        <v>12</v>
      </c>
      <c r="C71" t="s">
        <v>6</v>
      </c>
      <c r="D71">
        <v>7</v>
      </c>
      <c r="E71">
        <v>5636797010887071</v>
      </c>
    </row>
    <row r="72" spans="1:5" x14ac:dyDescent="0.35">
      <c r="A72">
        <v>70</v>
      </c>
      <c r="B72" t="s">
        <v>5</v>
      </c>
      <c r="C72" t="s">
        <v>12</v>
      </c>
      <c r="D72">
        <v>7</v>
      </c>
      <c r="E72">
        <v>5636797010887071</v>
      </c>
    </row>
    <row r="73" spans="1:5" x14ac:dyDescent="0.35">
      <c r="A73">
        <v>71</v>
      </c>
      <c r="B73" t="s">
        <v>5</v>
      </c>
      <c r="C73" t="s">
        <v>11</v>
      </c>
      <c r="D73">
        <v>6</v>
      </c>
      <c r="E73">
        <v>483154029504606</v>
      </c>
    </row>
    <row r="74" spans="1:5" x14ac:dyDescent="0.35">
      <c r="A74">
        <v>72</v>
      </c>
      <c r="B74" t="s">
        <v>8</v>
      </c>
      <c r="C74" t="s">
        <v>5</v>
      </c>
      <c r="D74">
        <v>2</v>
      </c>
      <c r="E74">
        <v>161051343168202</v>
      </c>
    </row>
    <row r="75" spans="1:5" x14ac:dyDescent="0.35">
      <c r="A75">
        <v>73</v>
      </c>
      <c r="B75" t="s">
        <v>14</v>
      </c>
      <c r="C75" t="s">
        <v>6</v>
      </c>
      <c r="D75">
        <v>1</v>
      </c>
      <c r="E75">
        <v>80525671584101</v>
      </c>
    </row>
    <row r="76" spans="1:5" x14ac:dyDescent="0.35">
      <c r="A76">
        <v>74</v>
      </c>
      <c r="B76" t="s">
        <v>12</v>
      </c>
      <c r="C76" t="s">
        <v>5</v>
      </c>
      <c r="D76">
        <v>1</v>
      </c>
      <c r="E76">
        <v>80525671584101</v>
      </c>
    </row>
    <row r="77" spans="1:5" x14ac:dyDescent="0.35">
      <c r="A77">
        <v>75</v>
      </c>
      <c r="B77" t="s">
        <v>8</v>
      </c>
      <c r="C77" t="s">
        <v>14</v>
      </c>
      <c r="D77">
        <v>1</v>
      </c>
      <c r="E77">
        <v>80525671584101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H54" sqref="H54"/>
    </sheetView>
  </sheetViews>
  <sheetFormatPr defaultRowHeight="14.5" x14ac:dyDescent="0.35"/>
  <cols>
    <col min="1" max="1" width="21.90625" customWidth="1"/>
    <col min="3" max="3" width="11.6328125" customWidth="1"/>
  </cols>
  <sheetData>
    <row r="1" spans="1:7" x14ac:dyDescent="0.35">
      <c r="A1" s="5" t="s">
        <v>20</v>
      </c>
      <c r="B1" s="5"/>
      <c r="C1" s="5"/>
      <c r="E1" s="5" t="s">
        <v>20</v>
      </c>
      <c r="F1" s="5"/>
      <c r="G1" s="5"/>
    </row>
    <row r="2" spans="1:7" x14ac:dyDescent="0.35">
      <c r="A2" s="3" t="s">
        <v>15</v>
      </c>
      <c r="B2" s="2" t="s">
        <v>16</v>
      </c>
      <c r="C2" s="2" t="s">
        <v>22</v>
      </c>
      <c r="E2" s="1">
        <v>1</v>
      </c>
      <c r="F2" s="1">
        <v>66</v>
      </c>
      <c r="G2" s="1">
        <v>354</v>
      </c>
    </row>
    <row r="3" spans="1:7" x14ac:dyDescent="0.35">
      <c r="A3" s="1" t="s">
        <v>17</v>
      </c>
      <c r="B3" s="1">
        <f>'total mapping'!D4</f>
        <v>15128</v>
      </c>
      <c r="C3" s="4">
        <f>B3/SUM($B$3:$B$6)</f>
        <v>0.28919900592620912</v>
      </c>
      <c r="E3" s="1">
        <v>2</v>
      </c>
      <c r="F3" s="1">
        <v>44</v>
      </c>
      <c r="G3" s="1">
        <v>254</v>
      </c>
    </row>
    <row r="4" spans="1:7" x14ac:dyDescent="0.35">
      <c r="A4" s="1" t="s">
        <v>18</v>
      </c>
      <c r="B4" s="1">
        <f>'total mapping'!D2</f>
        <v>22737</v>
      </c>
      <c r="C4" s="4">
        <f t="shared" ref="C4:C6" si="0">B4/SUM($B$3:$B$6)</f>
        <v>0.43465876505448287</v>
      </c>
      <c r="E4" s="1">
        <v>3</v>
      </c>
      <c r="F4" s="1">
        <v>66</v>
      </c>
      <c r="G4" s="1">
        <v>54</v>
      </c>
    </row>
    <row r="5" spans="1:7" x14ac:dyDescent="0.35">
      <c r="A5" s="1" t="s">
        <v>19</v>
      </c>
      <c r="B5" s="1">
        <f>'total mapping'!D6</f>
        <v>11753</v>
      </c>
      <c r="C5" s="4">
        <f t="shared" si="0"/>
        <v>0.22467979353852036</v>
      </c>
    </row>
    <row r="6" spans="1:7" x14ac:dyDescent="0.35">
      <c r="A6" s="1" t="s">
        <v>21</v>
      </c>
      <c r="B6" s="1">
        <f>'total mapping'!D9</f>
        <v>2692</v>
      </c>
      <c r="C6" s="4">
        <f t="shared" si="0"/>
        <v>5.1462435480787612E-2</v>
      </c>
    </row>
    <row r="7" spans="1:7" x14ac:dyDescent="0.35">
      <c r="A7" s="7" t="s">
        <v>23</v>
      </c>
      <c r="B7" s="1">
        <f>'total mapping'!D5</f>
        <v>12958</v>
      </c>
      <c r="C7" s="4">
        <f>B7/SUM($B$3:$B$6)</f>
        <v>0.24771554196138407</v>
      </c>
    </row>
  </sheetData>
  <mergeCells count="2">
    <mergeCell ref="A1:C1"/>
    <mergeCell ref="E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4DBE7-172D-4EB6-88D9-C1E78101C8B3}">
  <dimension ref="A1:C6"/>
  <sheetViews>
    <sheetView workbookViewId="0">
      <selection activeCell="E12" sqref="E12"/>
    </sheetView>
  </sheetViews>
  <sheetFormatPr defaultRowHeight="14.5" x14ac:dyDescent="0.35"/>
  <cols>
    <col min="1" max="1" width="21.90625" customWidth="1"/>
    <col min="3" max="3" width="11.6328125" customWidth="1"/>
  </cols>
  <sheetData>
    <row r="1" spans="1:3" x14ac:dyDescent="0.35">
      <c r="A1" s="5" t="s">
        <v>20</v>
      </c>
      <c r="B1" s="5"/>
      <c r="C1" s="5"/>
    </row>
    <row r="2" spans="1:3" x14ac:dyDescent="0.35">
      <c r="A2" s="3" t="s">
        <v>15</v>
      </c>
      <c r="B2" s="2" t="s">
        <v>16</v>
      </c>
      <c r="C2" s="2" t="s">
        <v>22</v>
      </c>
    </row>
    <row r="3" spans="1:3" x14ac:dyDescent="0.35">
      <c r="A3" s="1" t="s">
        <v>25</v>
      </c>
      <c r="B3" s="1">
        <f>'total mapping'!D12</f>
        <v>2007</v>
      </c>
      <c r="C3" s="4">
        <f>B3/SUM($B$3:$B$6)</f>
        <v>0.48749089142579549</v>
      </c>
    </row>
    <row r="4" spans="1:3" x14ac:dyDescent="0.35">
      <c r="A4" s="1" t="s">
        <v>26</v>
      </c>
      <c r="B4" s="1">
        <f>'total mapping'!D20</f>
        <v>876</v>
      </c>
      <c r="C4" s="4">
        <f>B4/SUM($B$3:$B$6)</f>
        <v>0.21277629341753704</v>
      </c>
    </row>
    <row r="5" spans="1:3" x14ac:dyDescent="0.35">
      <c r="A5" s="1" t="s">
        <v>27</v>
      </c>
      <c r="B5" s="1">
        <f>'total mapping'!D16</f>
        <v>1079</v>
      </c>
      <c r="C5" s="4">
        <f>B5/SUM($B$3:$B$6)</f>
        <v>0.26208404177799366</v>
      </c>
    </row>
    <row r="6" spans="1:3" x14ac:dyDescent="0.35">
      <c r="A6" s="1" t="s">
        <v>21</v>
      </c>
      <c r="B6" s="1">
        <f>'total mapping'!D43</f>
        <v>155</v>
      </c>
      <c r="C6" s="4">
        <f t="shared" ref="C6" si="0">B6/SUM($B$3:$B$6)</f>
        <v>3.764877337867379E-2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9B687-BDE8-4B40-8D7C-21B65A88EA00}">
  <dimension ref="A1:J5"/>
  <sheetViews>
    <sheetView workbookViewId="0">
      <selection activeCell="A2" sqref="A2:J5"/>
    </sheetView>
  </sheetViews>
  <sheetFormatPr defaultRowHeight="14.5" x14ac:dyDescent="0.35"/>
  <sheetData>
    <row r="1" spans="1:10" x14ac:dyDescent="0.35">
      <c r="A1" s="6" t="s">
        <v>24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35">
      <c r="A2" s="8" t="str">
        <f>"Berdasarkan data " &amp;  Dashboard!A3 &amp;" didapatkan bahwa persentasenya adalah " &amp;TEXT(Dashboard!C7,"0,00%")</f>
        <v>Berdasarkan data Coding didapatkan bahwa persentasenya adalah 24,77%</v>
      </c>
      <c r="B2" s="8"/>
      <c r="C2" s="8"/>
      <c r="D2" s="8"/>
      <c r="E2" s="8"/>
      <c r="F2" s="8"/>
      <c r="G2" s="8"/>
      <c r="H2" s="8"/>
      <c r="I2" s="8"/>
      <c r="J2" s="8"/>
    </row>
    <row r="3" spans="1:10" x14ac:dyDescent="0.35">
      <c r="A3" s="8"/>
      <c r="B3" s="8"/>
      <c r="C3" s="8"/>
      <c r="D3" s="8"/>
      <c r="E3" s="8"/>
      <c r="F3" s="8"/>
      <c r="G3" s="8"/>
      <c r="H3" s="8"/>
      <c r="I3" s="8"/>
      <c r="J3" s="8"/>
    </row>
    <row r="4" spans="1:10" x14ac:dyDescent="0.35">
      <c r="A4" s="8"/>
      <c r="B4" s="8"/>
      <c r="C4" s="8"/>
      <c r="D4" s="8"/>
      <c r="E4" s="8"/>
      <c r="F4" s="8"/>
      <c r="G4" s="8"/>
      <c r="H4" s="8"/>
      <c r="I4" s="8"/>
      <c r="J4" s="8"/>
    </row>
    <row r="5" spans="1:10" x14ac:dyDescent="0.35">
      <c r="A5" s="8"/>
      <c r="B5" s="8"/>
      <c r="C5" s="8"/>
      <c r="D5" s="8"/>
      <c r="E5" s="8"/>
      <c r="F5" s="8"/>
      <c r="G5" s="8"/>
      <c r="H5" s="8"/>
      <c r="I5" s="8"/>
      <c r="J5" s="8"/>
    </row>
  </sheetData>
  <mergeCells count="2">
    <mergeCell ref="A1:J1"/>
    <mergeCell ref="A2:J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914D25-6892-4333-B9EF-A938403E1D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mapping</vt:lpstr>
      <vt:lpstr>Dashboard</vt:lpstr>
      <vt:lpstr>Dashboard 2</vt:lpstr>
      <vt:lpstr>Caption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Fresnel Siregar</dc:creator>
  <cp:lastModifiedBy>Fresnel D Siregar</cp:lastModifiedBy>
  <dcterms:created xsi:type="dcterms:W3CDTF">2015-06-05T18:17:20Z</dcterms:created>
  <dcterms:modified xsi:type="dcterms:W3CDTF">2026-06-04T08:00:53Z</dcterms:modified>
</cp:coreProperties>
</file>